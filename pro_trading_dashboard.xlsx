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Analytic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'Equity'!$A$2:$A$100</f>
            </numRef>
          </cat>
          <val>
            <numRef>
              <f>'Equity'!$B$2:$B$100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Qty</t>
        </is>
      </c>
      <c r="F1" s="1" t="inlineStr">
        <is>
          <t>P&amp;L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Trades</t>
        </is>
      </c>
      <c r="B1">
        <f>COUNTA(Trades!A2:A1000)</f>
        <v/>
      </c>
    </row>
    <row r="2">
      <c r="A2" s="1" t="inlineStr">
        <is>
          <t>Wins</t>
        </is>
      </c>
      <c r="B2">
        <f>COUNTIF(Trades!F2:F1000,"&gt;0")</f>
        <v/>
      </c>
    </row>
    <row r="3">
      <c r="A3" s="1" t="inlineStr">
        <is>
          <t>Losses</t>
        </is>
      </c>
      <c r="B3">
        <f>COUNTIF(Trades!F2:F1000,"&lt;0")</f>
        <v/>
      </c>
    </row>
    <row r="4">
      <c r="A4" s="1" t="inlineStr">
        <is>
          <t>Win Ratio</t>
        </is>
      </c>
      <c r="B4">
        <f>B2/B1</f>
        <v/>
      </c>
    </row>
    <row r="5">
      <c r="A5" s="1" t="inlineStr">
        <is>
          <t>Total Profit</t>
        </is>
      </c>
      <c r="B5">
        <f>SUM(Trades!F2:F1000)</f>
        <v/>
      </c>
    </row>
    <row r="6">
      <c r="A6" s="1" t="inlineStr">
        <is>
          <t>CAGR (Approx)</t>
        </is>
      </c>
      <c r="B6">
        <f>POWER((1+B5/100000),1/1)-1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Equity</t>
        </is>
      </c>
    </row>
    <row r="2">
      <c r="A2" t="n">
        <v>1</v>
      </c>
      <c r="B2">
        <f>100000+SUM(Trades!F$2:F2)</f>
        <v/>
      </c>
    </row>
    <row r="3">
      <c r="A3" t="n">
        <v>2</v>
      </c>
      <c r="B3">
        <f>100000+SUM(Trades!F$2:F3)</f>
        <v/>
      </c>
    </row>
    <row r="4">
      <c r="A4" t="n">
        <v>3</v>
      </c>
      <c r="B4">
        <f>100000+SUM(Trades!F$2:F4)</f>
        <v/>
      </c>
    </row>
    <row r="5">
      <c r="A5" t="n">
        <v>4</v>
      </c>
      <c r="B5">
        <f>100000+SUM(Trades!F$2:F5)</f>
        <v/>
      </c>
    </row>
    <row r="6">
      <c r="A6" t="n">
        <v>5</v>
      </c>
      <c r="B6">
        <f>100000+SUM(Trades!F$2:F6)</f>
        <v/>
      </c>
    </row>
    <row r="7">
      <c r="A7" t="n">
        <v>6</v>
      </c>
      <c r="B7">
        <f>100000+SUM(Trades!F$2:F7)</f>
        <v/>
      </c>
    </row>
    <row r="8">
      <c r="A8" t="n">
        <v>7</v>
      </c>
      <c r="B8">
        <f>100000+SUM(Trades!F$2:F8)</f>
        <v/>
      </c>
    </row>
    <row r="9">
      <c r="A9" t="n">
        <v>8</v>
      </c>
      <c r="B9">
        <f>100000+SUM(Trades!F$2:F9)</f>
        <v/>
      </c>
    </row>
    <row r="10">
      <c r="A10" t="n">
        <v>9</v>
      </c>
      <c r="B10">
        <f>100000+SUM(Trades!F$2:F10)</f>
        <v/>
      </c>
    </row>
    <row r="11">
      <c r="A11" t="n">
        <v>10</v>
      </c>
      <c r="B11">
        <f>100000+SUM(Trades!F$2:F11)</f>
        <v/>
      </c>
    </row>
    <row r="12">
      <c r="A12" t="n">
        <v>11</v>
      </c>
      <c r="B12">
        <f>100000+SUM(Trades!F$2:F12)</f>
        <v/>
      </c>
    </row>
    <row r="13">
      <c r="A13" t="n">
        <v>12</v>
      </c>
      <c r="B13">
        <f>100000+SUM(Trades!F$2:F13)</f>
        <v/>
      </c>
    </row>
    <row r="14">
      <c r="A14" t="n">
        <v>13</v>
      </c>
      <c r="B14">
        <f>100000+SUM(Trades!F$2:F14)</f>
        <v/>
      </c>
    </row>
    <row r="15">
      <c r="A15" t="n">
        <v>14</v>
      </c>
      <c r="B15">
        <f>100000+SUM(Trades!F$2:F15)</f>
        <v/>
      </c>
    </row>
    <row r="16">
      <c r="A16" t="n">
        <v>15</v>
      </c>
      <c r="B16">
        <f>100000+SUM(Trades!F$2:F16)</f>
        <v/>
      </c>
    </row>
    <row r="17">
      <c r="A17" t="n">
        <v>16</v>
      </c>
      <c r="B17">
        <f>100000+SUM(Trades!F$2:F17)</f>
        <v/>
      </c>
    </row>
    <row r="18">
      <c r="A18" t="n">
        <v>17</v>
      </c>
      <c r="B18">
        <f>100000+SUM(Trades!F$2:F18)</f>
        <v/>
      </c>
    </row>
    <row r="19">
      <c r="A19" t="n">
        <v>18</v>
      </c>
      <c r="B19">
        <f>100000+SUM(Trades!F$2:F19)</f>
        <v/>
      </c>
    </row>
    <row r="20">
      <c r="A20" t="n">
        <v>19</v>
      </c>
      <c r="B20">
        <f>100000+SUM(Trades!F$2:F20)</f>
        <v/>
      </c>
    </row>
    <row r="21">
      <c r="A21" t="n">
        <v>20</v>
      </c>
      <c r="B21">
        <f>100000+SUM(Trades!F$2:F21)</f>
        <v/>
      </c>
    </row>
    <row r="22">
      <c r="A22" t="n">
        <v>21</v>
      </c>
      <c r="B22">
        <f>100000+SUM(Trades!F$2:F22)</f>
        <v/>
      </c>
    </row>
    <row r="23">
      <c r="A23" t="n">
        <v>22</v>
      </c>
      <c r="B23">
        <f>100000+SUM(Trades!F$2:F23)</f>
        <v/>
      </c>
    </row>
    <row r="24">
      <c r="A24" t="n">
        <v>23</v>
      </c>
      <c r="B24">
        <f>100000+SUM(Trades!F$2:F24)</f>
        <v/>
      </c>
    </row>
    <row r="25">
      <c r="A25" t="n">
        <v>24</v>
      </c>
      <c r="B25">
        <f>100000+SUM(Trades!F$2:F25)</f>
        <v/>
      </c>
    </row>
    <row r="26">
      <c r="A26" t="n">
        <v>25</v>
      </c>
      <c r="B26">
        <f>100000+SUM(Trades!F$2:F26)</f>
        <v/>
      </c>
    </row>
    <row r="27">
      <c r="A27" t="n">
        <v>26</v>
      </c>
      <c r="B27">
        <f>100000+SUM(Trades!F$2:F27)</f>
        <v/>
      </c>
    </row>
    <row r="28">
      <c r="A28" t="n">
        <v>27</v>
      </c>
      <c r="B28">
        <f>100000+SUM(Trades!F$2:F28)</f>
        <v/>
      </c>
    </row>
    <row r="29">
      <c r="A29" t="n">
        <v>28</v>
      </c>
      <c r="B29">
        <f>100000+SUM(Trades!F$2:F29)</f>
        <v/>
      </c>
    </row>
    <row r="30">
      <c r="A30" t="n">
        <v>29</v>
      </c>
      <c r="B30">
        <f>100000+SUM(Trades!F$2:F30)</f>
        <v/>
      </c>
    </row>
    <row r="31">
      <c r="A31" t="n">
        <v>30</v>
      </c>
      <c r="B31">
        <f>100000+SUM(Trades!F$2:F31)</f>
        <v/>
      </c>
    </row>
    <row r="32">
      <c r="A32" t="n">
        <v>31</v>
      </c>
      <c r="B32">
        <f>100000+SUM(Trades!F$2:F32)</f>
        <v/>
      </c>
    </row>
    <row r="33">
      <c r="A33" t="n">
        <v>32</v>
      </c>
      <c r="B33">
        <f>100000+SUM(Trades!F$2:F33)</f>
        <v/>
      </c>
    </row>
    <row r="34">
      <c r="A34" t="n">
        <v>33</v>
      </c>
      <c r="B34">
        <f>100000+SUM(Trades!F$2:F34)</f>
        <v/>
      </c>
    </row>
    <row r="35">
      <c r="A35" t="n">
        <v>34</v>
      </c>
      <c r="B35">
        <f>100000+SUM(Trades!F$2:F35)</f>
        <v/>
      </c>
    </row>
    <row r="36">
      <c r="A36" t="n">
        <v>35</v>
      </c>
      <c r="B36">
        <f>100000+SUM(Trades!F$2:F36)</f>
        <v/>
      </c>
    </row>
    <row r="37">
      <c r="A37" t="n">
        <v>36</v>
      </c>
      <c r="B37">
        <f>100000+SUM(Trades!F$2:F37)</f>
        <v/>
      </c>
    </row>
    <row r="38">
      <c r="A38" t="n">
        <v>37</v>
      </c>
      <c r="B38">
        <f>100000+SUM(Trades!F$2:F38)</f>
        <v/>
      </c>
    </row>
    <row r="39">
      <c r="A39" t="n">
        <v>38</v>
      </c>
      <c r="B39">
        <f>100000+SUM(Trades!F$2:F39)</f>
        <v/>
      </c>
    </row>
    <row r="40">
      <c r="A40" t="n">
        <v>39</v>
      </c>
      <c r="B40">
        <f>100000+SUM(Trades!F$2:F40)</f>
        <v/>
      </c>
    </row>
    <row r="41">
      <c r="A41" t="n">
        <v>40</v>
      </c>
      <c r="B41">
        <f>100000+SUM(Trades!F$2:F41)</f>
        <v/>
      </c>
    </row>
    <row r="42">
      <c r="A42" t="n">
        <v>41</v>
      </c>
      <c r="B42">
        <f>100000+SUM(Trades!F$2:F42)</f>
        <v/>
      </c>
    </row>
    <row r="43">
      <c r="A43" t="n">
        <v>42</v>
      </c>
      <c r="B43">
        <f>100000+SUM(Trades!F$2:F43)</f>
        <v/>
      </c>
    </row>
    <row r="44">
      <c r="A44" t="n">
        <v>43</v>
      </c>
      <c r="B44">
        <f>100000+SUM(Trades!F$2:F44)</f>
        <v/>
      </c>
    </row>
    <row r="45">
      <c r="A45" t="n">
        <v>44</v>
      </c>
      <c r="B45">
        <f>100000+SUM(Trades!F$2:F45)</f>
        <v/>
      </c>
    </row>
    <row r="46">
      <c r="A46" t="n">
        <v>45</v>
      </c>
      <c r="B46">
        <f>100000+SUM(Trades!F$2:F46)</f>
        <v/>
      </c>
    </row>
    <row r="47">
      <c r="A47" t="n">
        <v>46</v>
      </c>
      <c r="B47">
        <f>100000+SUM(Trades!F$2:F47)</f>
        <v/>
      </c>
    </row>
    <row r="48">
      <c r="A48" t="n">
        <v>47</v>
      </c>
      <c r="B48">
        <f>100000+SUM(Trades!F$2:F48)</f>
        <v/>
      </c>
    </row>
    <row r="49">
      <c r="A49" t="n">
        <v>48</v>
      </c>
      <c r="B49">
        <f>100000+SUM(Trades!F$2:F49)</f>
        <v/>
      </c>
    </row>
    <row r="50">
      <c r="A50" t="n">
        <v>49</v>
      </c>
      <c r="B50">
        <f>100000+SUM(Trades!F$2:F50)</f>
        <v/>
      </c>
    </row>
    <row r="51">
      <c r="A51" t="n">
        <v>50</v>
      </c>
      <c r="B51">
        <f>100000+SUM(Trades!F$2:F51)</f>
        <v/>
      </c>
    </row>
    <row r="52">
      <c r="A52" t="n">
        <v>51</v>
      </c>
      <c r="B52">
        <f>100000+SUM(Trades!F$2:F52)</f>
        <v/>
      </c>
    </row>
    <row r="53">
      <c r="A53" t="n">
        <v>52</v>
      </c>
      <c r="B53">
        <f>100000+SUM(Trades!F$2:F53)</f>
        <v/>
      </c>
    </row>
    <row r="54">
      <c r="A54" t="n">
        <v>53</v>
      </c>
      <c r="B54">
        <f>100000+SUM(Trades!F$2:F54)</f>
        <v/>
      </c>
    </row>
    <row r="55">
      <c r="A55" t="n">
        <v>54</v>
      </c>
      <c r="B55">
        <f>100000+SUM(Trades!F$2:F55)</f>
        <v/>
      </c>
    </row>
    <row r="56">
      <c r="A56" t="n">
        <v>55</v>
      </c>
      <c r="B56">
        <f>100000+SUM(Trades!F$2:F56)</f>
        <v/>
      </c>
    </row>
    <row r="57">
      <c r="A57" t="n">
        <v>56</v>
      </c>
      <c r="B57">
        <f>100000+SUM(Trades!F$2:F57)</f>
        <v/>
      </c>
    </row>
    <row r="58">
      <c r="A58" t="n">
        <v>57</v>
      </c>
      <c r="B58">
        <f>100000+SUM(Trades!F$2:F58)</f>
        <v/>
      </c>
    </row>
    <row r="59">
      <c r="A59" t="n">
        <v>58</v>
      </c>
      <c r="B59">
        <f>100000+SUM(Trades!F$2:F59)</f>
        <v/>
      </c>
    </row>
    <row r="60">
      <c r="A60" t="n">
        <v>59</v>
      </c>
      <c r="B60">
        <f>100000+SUM(Trades!F$2:F60)</f>
        <v/>
      </c>
    </row>
    <row r="61">
      <c r="A61" t="n">
        <v>60</v>
      </c>
      <c r="B61">
        <f>100000+SUM(Trades!F$2:F61)</f>
        <v/>
      </c>
    </row>
    <row r="62">
      <c r="A62" t="n">
        <v>61</v>
      </c>
      <c r="B62">
        <f>100000+SUM(Trades!F$2:F62)</f>
        <v/>
      </c>
    </row>
    <row r="63">
      <c r="A63" t="n">
        <v>62</v>
      </c>
      <c r="B63">
        <f>100000+SUM(Trades!F$2:F63)</f>
        <v/>
      </c>
    </row>
    <row r="64">
      <c r="A64" t="n">
        <v>63</v>
      </c>
      <c r="B64">
        <f>100000+SUM(Trades!F$2:F64)</f>
        <v/>
      </c>
    </row>
    <row r="65">
      <c r="A65" t="n">
        <v>64</v>
      </c>
      <c r="B65">
        <f>100000+SUM(Trades!F$2:F65)</f>
        <v/>
      </c>
    </row>
    <row r="66">
      <c r="A66" t="n">
        <v>65</v>
      </c>
      <c r="B66">
        <f>100000+SUM(Trades!F$2:F66)</f>
        <v/>
      </c>
    </row>
    <row r="67">
      <c r="A67" t="n">
        <v>66</v>
      </c>
      <c r="B67">
        <f>100000+SUM(Trades!F$2:F67)</f>
        <v/>
      </c>
    </row>
    <row r="68">
      <c r="A68" t="n">
        <v>67</v>
      </c>
      <c r="B68">
        <f>100000+SUM(Trades!F$2:F68)</f>
        <v/>
      </c>
    </row>
    <row r="69">
      <c r="A69" t="n">
        <v>68</v>
      </c>
      <c r="B69">
        <f>100000+SUM(Trades!F$2:F69)</f>
        <v/>
      </c>
    </row>
    <row r="70">
      <c r="A70" t="n">
        <v>69</v>
      </c>
      <c r="B70">
        <f>100000+SUM(Trades!F$2:F70)</f>
        <v/>
      </c>
    </row>
    <row r="71">
      <c r="A71" t="n">
        <v>70</v>
      </c>
      <c r="B71">
        <f>100000+SUM(Trades!F$2:F71)</f>
        <v/>
      </c>
    </row>
    <row r="72">
      <c r="A72" t="n">
        <v>71</v>
      </c>
      <c r="B72">
        <f>100000+SUM(Trades!F$2:F72)</f>
        <v/>
      </c>
    </row>
    <row r="73">
      <c r="A73" t="n">
        <v>72</v>
      </c>
      <c r="B73">
        <f>100000+SUM(Trades!F$2:F73)</f>
        <v/>
      </c>
    </row>
    <row r="74">
      <c r="A74" t="n">
        <v>73</v>
      </c>
      <c r="B74">
        <f>100000+SUM(Trades!F$2:F74)</f>
        <v/>
      </c>
    </row>
    <row r="75">
      <c r="A75" t="n">
        <v>74</v>
      </c>
      <c r="B75">
        <f>100000+SUM(Trades!F$2:F75)</f>
        <v/>
      </c>
    </row>
    <row r="76">
      <c r="A76" t="n">
        <v>75</v>
      </c>
      <c r="B76">
        <f>100000+SUM(Trades!F$2:F76)</f>
        <v/>
      </c>
    </row>
    <row r="77">
      <c r="A77" t="n">
        <v>76</v>
      </c>
      <c r="B77">
        <f>100000+SUM(Trades!F$2:F77)</f>
        <v/>
      </c>
    </row>
    <row r="78">
      <c r="A78" t="n">
        <v>77</v>
      </c>
      <c r="B78">
        <f>100000+SUM(Trades!F$2:F78)</f>
        <v/>
      </c>
    </row>
    <row r="79">
      <c r="A79" t="n">
        <v>78</v>
      </c>
      <c r="B79">
        <f>100000+SUM(Trades!F$2:F79)</f>
        <v/>
      </c>
    </row>
    <row r="80">
      <c r="A80" t="n">
        <v>79</v>
      </c>
      <c r="B80">
        <f>100000+SUM(Trades!F$2:F80)</f>
        <v/>
      </c>
    </row>
    <row r="81">
      <c r="A81" t="n">
        <v>80</v>
      </c>
      <c r="B81">
        <f>100000+SUM(Trades!F$2:F81)</f>
        <v/>
      </c>
    </row>
    <row r="82">
      <c r="A82" t="n">
        <v>81</v>
      </c>
      <c r="B82">
        <f>100000+SUM(Trades!F$2:F82)</f>
        <v/>
      </c>
    </row>
    <row r="83">
      <c r="A83" t="n">
        <v>82</v>
      </c>
      <c r="B83">
        <f>100000+SUM(Trades!F$2:F83)</f>
        <v/>
      </c>
    </row>
    <row r="84">
      <c r="A84" t="n">
        <v>83</v>
      </c>
      <c r="B84">
        <f>100000+SUM(Trades!F$2:F84)</f>
        <v/>
      </c>
    </row>
    <row r="85">
      <c r="A85" t="n">
        <v>84</v>
      </c>
      <c r="B85">
        <f>100000+SUM(Trades!F$2:F85)</f>
        <v/>
      </c>
    </row>
    <row r="86">
      <c r="A86" t="n">
        <v>85</v>
      </c>
      <c r="B86">
        <f>100000+SUM(Trades!F$2:F86)</f>
        <v/>
      </c>
    </row>
    <row r="87">
      <c r="A87" t="n">
        <v>86</v>
      </c>
      <c r="B87">
        <f>100000+SUM(Trades!F$2:F87)</f>
        <v/>
      </c>
    </row>
    <row r="88">
      <c r="A88" t="n">
        <v>87</v>
      </c>
      <c r="B88">
        <f>100000+SUM(Trades!F$2:F88)</f>
        <v/>
      </c>
    </row>
    <row r="89">
      <c r="A89" t="n">
        <v>88</v>
      </c>
      <c r="B89">
        <f>100000+SUM(Trades!F$2:F89)</f>
        <v/>
      </c>
    </row>
    <row r="90">
      <c r="A90" t="n">
        <v>89</v>
      </c>
      <c r="B90">
        <f>100000+SUM(Trades!F$2:F90)</f>
        <v/>
      </c>
    </row>
    <row r="91">
      <c r="A91" t="n">
        <v>90</v>
      </c>
      <c r="B91">
        <f>100000+SUM(Trades!F$2:F91)</f>
        <v/>
      </c>
    </row>
    <row r="92">
      <c r="A92" t="n">
        <v>91</v>
      </c>
      <c r="B92">
        <f>100000+SUM(Trades!F$2:F92)</f>
        <v/>
      </c>
    </row>
    <row r="93">
      <c r="A93" t="n">
        <v>92</v>
      </c>
      <c r="B93">
        <f>100000+SUM(Trades!F$2:F93)</f>
        <v/>
      </c>
    </row>
    <row r="94">
      <c r="A94" t="n">
        <v>93</v>
      </c>
      <c r="B94">
        <f>100000+SUM(Trades!F$2:F94)</f>
        <v/>
      </c>
    </row>
    <row r="95">
      <c r="A95" t="n">
        <v>94</v>
      </c>
      <c r="B95">
        <f>100000+SUM(Trades!F$2:F95)</f>
        <v/>
      </c>
    </row>
    <row r="96">
      <c r="A96" t="n">
        <v>95</v>
      </c>
      <c r="B96">
        <f>100000+SUM(Trades!F$2:F96)</f>
        <v/>
      </c>
    </row>
    <row r="97">
      <c r="A97" t="n">
        <v>96</v>
      </c>
      <c r="B97">
        <f>100000+SUM(Trades!F$2:F97)</f>
        <v/>
      </c>
    </row>
    <row r="98">
      <c r="A98" t="n">
        <v>97</v>
      </c>
      <c r="B98">
        <f>100000+SUM(Trades!F$2:F98)</f>
        <v/>
      </c>
    </row>
    <row r="99">
      <c r="A99" t="n">
        <v>98</v>
      </c>
      <c r="B99">
        <f>100000+SUM(Trades!F$2:F99)</f>
        <v/>
      </c>
    </row>
    <row r="100">
      <c r="A100" t="n">
        <v>99</v>
      </c>
      <c r="B100">
        <f>100000+SUM(Trades!F$2:F100)</f>
        <v/>
      </c>
    </row>
    <row r="101">
      <c r="A101" t="n">
        <v>100</v>
      </c>
      <c r="B101">
        <f>100000+SUM(Trades!F$2:F101)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 DASHBOARD</t>
        </is>
      </c>
    </row>
    <row r="2">
      <c r="A2" s="1" t="n"/>
    </row>
    <row r="3">
      <c r="A3" s="1" t="inlineStr">
        <is>
          <t>Total Trades</t>
        </is>
      </c>
      <c r="B3">
        <f>Analytics!B1</f>
        <v/>
      </c>
    </row>
    <row r="4">
      <c r="A4" s="1" t="inlineStr">
        <is>
          <t>Win Ratio</t>
        </is>
      </c>
      <c r="B4">
        <f>Analytics!B4</f>
        <v/>
      </c>
    </row>
    <row r="5">
      <c r="A5" s="1" t="inlineStr">
        <is>
          <t>Total Profit</t>
        </is>
      </c>
      <c r="B5">
        <f>Analytics!B5</f>
        <v/>
      </c>
    </row>
    <row r="6">
      <c r="A6" s="1" t="inlineStr">
        <is>
          <t>CAGR</t>
        </is>
      </c>
      <c r="B6">
        <f>Analytics!B6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2026-04-29T17:44:22Z</dcterms:created>
  <dcterms:modified xmlns:dcterms="http://purl.org/dc/terms/" xmlns:xsi="http://www.w3.org/2001/XMLSchema-instance" xsi:type="dcterms:W3CDTF">2026-04-29T17:44:22Z</dcterms:modified>
</cp:coreProperties>
</file>